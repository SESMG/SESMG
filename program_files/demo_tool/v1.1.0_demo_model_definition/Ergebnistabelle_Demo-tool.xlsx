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SESMG-dev\SESMG-dev\program_files\demo_tool\v1.1.0_demo_model_definition\"/>
    </mc:Choice>
  </mc:AlternateContent>
  <xr:revisionPtr revIDLastSave="0" documentId="13_ncr:1_{1B217BC0-236A-49C1-9BBE-703B55FFA0D1}" xr6:coauthVersionLast="47" xr6:coauthVersionMax="47" xr10:uidLastSave="{00000000-0000-0000-0000-000000000000}"/>
  <bookViews>
    <workbookView xWindow="-110" yWindow="-110" windowWidth="19420" windowHeight="10300" xr2:uid="{A2E5A41D-03C9-467F-A431-75131B252576}"/>
  </bookViews>
  <sheets>
    <sheet name="Advanced" sheetId="2" r:id="rId1"/>
    <sheet name="Simplifie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M8" i="2"/>
  <c r="M7" i="2"/>
  <c r="M6" i="2"/>
  <c r="M5" i="2"/>
  <c r="M4" i="2"/>
  <c r="M3" i="2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<sst xmlns="http://schemas.openxmlformats.org/spreadsheetml/2006/main" count="66" uniqueCount="26">
  <si>
    <t>kW</t>
  </si>
  <si>
    <t>kWh</t>
  </si>
  <si>
    <t>€/a</t>
  </si>
  <si>
    <t>t CO₂/a</t>
  </si>
  <si>
    <t>Unit</t>
  </si>
  <si>
    <t>Photovoltaic</t>
  </si>
  <si>
    <t>Solar Thermal</t>
  </si>
  <si>
    <t>Air source heat pump</t>
  </si>
  <si>
    <t>Battery storage</t>
  </si>
  <si>
    <t>Ground coupled heat pump</t>
  </si>
  <si>
    <t>Thermal Storage</t>
  </si>
  <si>
    <t>District Heating Network
 (suburban)</t>
  </si>
  <si>
    <t>District Heating Network
 (urban)</t>
  </si>
  <si>
    <t>District Heating Network
 (rural)</t>
  </si>
  <si>
    <t>CHP</t>
  </si>
  <si>
    <t>Costs</t>
  </si>
  <si>
    <t>Emissions</t>
  </si>
  <si>
    <t>Minimum cost</t>
  </si>
  <si>
    <t>1. Pareto point</t>
  </si>
  <si>
    <t>3. Pareto point</t>
  </si>
  <si>
    <t>5. Pareto point</t>
  </si>
  <si>
    <t>7. Pareto point</t>
  </si>
  <si>
    <t>9. Pareto point</t>
  </si>
  <si>
    <t>Minimum emission</t>
  </si>
  <si>
    <t>Pareto point SM</t>
  </si>
  <si>
    <t>Pareto point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</si>
</sst>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2222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F20-67DA-4983-BBFA-C6E8C4794F89}">
  <dimension ref="A1:M9"/>
  <sheetViews>
    <sheetView tabSelected="1" zoomScale="84" zoomScaleNormal="115" workbookViewId="0"/>
  </sheetViews>
  <sheetFormatPr baseColWidth="10" defaultRowHeight="14.5" x14ac:dyDescent="0.35"/>
  <cols>
    <col min="1" max="1" width="16.1796875" bestFit="1" customWidth="1"/>
    <col min="2" max="2" width="10.6328125" bestFit="1" customWidth="1"/>
    <col min="3" max="3" width="11.453125" bestFit="1" customWidth="1"/>
  </cols>
  <sheetData>
    <row r="1" spans="1:13" ht="52.5" x14ac:dyDescent="0.35">
      <c r="A1" s="1" t="s">
        <v>25</v>
      </c>
      <c r="B1" s="1" t="s">
        <v>5</v>
      </c>
      <c r="C1" s="1" t="s">
        <v>6</v>
      </c>
      <c r="D1" s="2" t="s">
        <v>7</v>
      </c>
      <c r="E1" s="9" t="s">
        <v>9</v>
      </c>
      <c r="F1" s="2" t="s">
        <v>13</v>
      </c>
      <c r="G1" s="2" t="s">
        <v>11</v>
      </c>
      <c r="H1" s="2" t="s">
        <v>12</v>
      </c>
      <c r="I1" s="2" t="s">
        <v>8</v>
      </c>
      <c r="J1" s="2" t="s">
        <v>10</v>
      </c>
      <c r="K1" s="3" t="s">
        <v>14</v>
      </c>
      <c r="L1" s="1" t="s">
        <v>15</v>
      </c>
      <c r="M1" s="1" t="s">
        <v>16</v>
      </c>
    </row>
    <row r="2" spans="1:13" x14ac:dyDescent="0.35">
      <c r="A2" s="1" t="s">
        <v>4</v>
      </c>
      <c r="B2" s="4" t="s">
        <v>0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4" t="s">
        <v>0</v>
      </c>
      <c r="I2" s="4" t="s">
        <v>1</v>
      </c>
      <c r="J2" s="4" t="s">
        <v>1</v>
      </c>
      <c r="K2" s="5" t="s">
        <v>0</v>
      </c>
      <c r="L2" s="4" t="s">
        <v>2</v>
      </c>
      <c r="M2" s="6" t="s">
        <v>3</v>
      </c>
    </row>
    <row r="3" spans="1:13" x14ac:dyDescent="0.35">
      <c r="A3" s="1" t="s">
        <v>17</v>
      </c>
      <c r="B3" s="5">
        <v>10000</v>
      </c>
      <c r="C3" s="7">
        <v>0</v>
      </c>
      <c r="D3" s="8">
        <v>4000.31</v>
      </c>
      <c r="E3" s="4">
        <v>5000</v>
      </c>
      <c r="F3" s="4">
        <v>0</v>
      </c>
      <c r="G3" s="4">
        <v>0</v>
      </c>
      <c r="H3" s="7">
        <v>12636.76</v>
      </c>
      <c r="I3" s="8">
        <v>0</v>
      </c>
      <c r="J3" s="4">
        <v>10000</v>
      </c>
      <c r="K3" s="5">
        <v>8241.3700000000008</v>
      </c>
      <c r="L3" s="8">
        <v>8329962.3799999999</v>
      </c>
      <c r="M3" s="8">
        <f xml:space="preserve"> 11229322928.9/1000000</f>
        <v>11229.322928899999</v>
      </c>
    </row>
    <row r="4" spans="1:13" x14ac:dyDescent="0.35">
      <c r="A4" s="1" t="s">
        <v>18</v>
      </c>
      <c r="B4" s="5">
        <v>10000</v>
      </c>
      <c r="C4" s="7">
        <v>0</v>
      </c>
      <c r="D4" s="8">
        <v>5000</v>
      </c>
      <c r="E4" s="4">
        <v>5000</v>
      </c>
      <c r="F4" s="4">
        <v>0</v>
      </c>
      <c r="G4" s="4">
        <v>0</v>
      </c>
      <c r="H4" s="7">
        <v>12636.76</v>
      </c>
      <c r="I4" s="8">
        <v>0</v>
      </c>
      <c r="J4" s="4">
        <v>10000</v>
      </c>
      <c r="K4" s="5">
        <v>8241.3700000000008</v>
      </c>
      <c r="L4" s="8">
        <v>8393132.5</v>
      </c>
      <c r="M4" s="8">
        <f xml:space="preserve"> 10927546829.68/1000000</f>
        <v>10927.546829680001</v>
      </c>
    </row>
    <row r="5" spans="1:13" x14ac:dyDescent="0.35">
      <c r="A5" s="1" t="s">
        <v>19</v>
      </c>
      <c r="B5" s="5">
        <v>10000</v>
      </c>
      <c r="C5" s="7">
        <v>6447.99</v>
      </c>
      <c r="D5" s="8">
        <v>5000</v>
      </c>
      <c r="E5" s="4">
        <v>5000</v>
      </c>
      <c r="F5" s="4">
        <v>0</v>
      </c>
      <c r="G5" s="4">
        <v>0</v>
      </c>
      <c r="H5" s="7">
        <v>12636.76</v>
      </c>
      <c r="I5" s="8">
        <v>0</v>
      </c>
      <c r="J5" s="4">
        <v>10000</v>
      </c>
      <c r="K5" s="5">
        <v>8241.3700000000008</v>
      </c>
      <c r="L5" s="8">
        <v>8688586.1699999999</v>
      </c>
      <c r="M5" s="8">
        <f>10323994631.26/1000000</f>
        <v>10323.99463126</v>
      </c>
    </row>
    <row r="6" spans="1:13" x14ac:dyDescent="0.35">
      <c r="A6" s="1" t="s">
        <v>20</v>
      </c>
      <c r="B6" s="5">
        <v>10000</v>
      </c>
      <c r="C6" s="7">
        <v>7568.02</v>
      </c>
      <c r="D6" s="8">
        <v>5000</v>
      </c>
      <c r="E6" s="4">
        <v>5000</v>
      </c>
      <c r="F6" s="4">
        <v>0</v>
      </c>
      <c r="G6" s="4">
        <v>0</v>
      </c>
      <c r="H6" s="7">
        <v>12636.76</v>
      </c>
      <c r="I6" s="8">
        <v>0</v>
      </c>
      <c r="J6" s="4">
        <v>10000</v>
      </c>
      <c r="K6" s="5">
        <v>8241.3700000000008</v>
      </c>
      <c r="L6" s="8">
        <v>9198597.8200000003</v>
      </c>
      <c r="M6" s="8">
        <f>9720442432.83999/1000000</f>
        <v>9720.4424328399909</v>
      </c>
    </row>
    <row r="7" spans="1:13" x14ac:dyDescent="0.35">
      <c r="A7" s="1" t="s">
        <v>21</v>
      </c>
      <c r="B7" s="5">
        <v>10000</v>
      </c>
      <c r="C7" s="7">
        <v>13142.52</v>
      </c>
      <c r="D7" s="8">
        <v>4543.32</v>
      </c>
      <c r="E7" s="4">
        <v>5000</v>
      </c>
      <c r="F7" s="4">
        <v>0</v>
      </c>
      <c r="G7" s="4">
        <v>0</v>
      </c>
      <c r="H7" s="7">
        <v>12636.76</v>
      </c>
      <c r="I7" s="8">
        <v>0</v>
      </c>
      <c r="J7" s="4">
        <v>10000</v>
      </c>
      <c r="K7" s="5">
        <v>8241.3700000000008</v>
      </c>
      <c r="L7" s="8">
        <v>9811440.2899999991</v>
      </c>
      <c r="M7" s="8">
        <f>9116890234.43999/1000000</f>
        <v>9116.8902344399885</v>
      </c>
    </row>
    <row r="8" spans="1:13" x14ac:dyDescent="0.35">
      <c r="A8" s="1" t="s">
        <v>22</v>
      </c>
      <c r="B8" s="5">
        <v>10000</v>
      </c>
      <c r="C8" s="7">
        <v>21088.04</v>
      </c>
      <c r="D8" s="8">
        <v>5000</v>
      </c>
      <c r="E8" s="4">
        <v>5000</v>
      </c>
      <c r="F8" s="4">
        <v>0</v>
      </c>
      <c r="G8" s="4">
        <v>0</v>
      </c>
      <c r="H8" s="8">
        <v>0</v>
      </c>
      <c r="I8" s="7">
        <v>6430.69</v>
      </c>
      <c r="J8" s="4">
        <v>10000</v>
      </c>
      <c r="K8" s="5">
        <v>0</v>
      </c>
      <c r="L8" s="8">
        <v>12201407.15</v>
      </c>
      <c r="M8" s="8">
        <f>8389539331.29999/1000000</f>
        <v>8389.5393312999895</v>
      </c>
    </row>
    <row r="9" spans="1:13" x14ac:dyDescent="0.35">
      <c r="A9" s="1" t="s">
        <v>23</v>
      </c>
      <c r="B9" s="5">
        <v>10000</v>
      </c>
      <c r="C9" s="7">
        <v>27700</v>
      </c>
      <c r="D9" s="8">
        <v>5000</v>
      </c>
      <c r="E9" s="4">
        <v>5000</v>
      </c>
      <c r="F9" s="4">
        <v>0</v>
      </c>
      <c r="G9" s="4">
        <v>0</v>
      </c>
      <c r="H9" s="8">
        <v>0</v>
      </c>
      <c r="I9" s="7">
        <v>10000</v>
      </c>
      <c r="J9" s="4">
        <v>10000</v>
      </c>
      <c r="K9" s="5">
        <v>0</v>
      </c>
      <c r="L9" s="8">
        <v>13895493.83</v>
      </c>
      <c r="M9" s="8">
        <f>8210772580.50999/1000000</f>
        <v>8210.772580509989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6878-9DF9-4A29-BD2D-53853362E41D}">
  <dimension ref="A1:M9"/>
  <sheetViews>
    <sheetView zoomScale="84" zoomScaleNormal="115" workbookViewId="0"/>
  </sheetViews>
  <sheetFormatPr baseColWidth="10" defaultRowHeight="14.5" x14ac:dyDescent="0.35"/>
  <cols>
    <col min="1" max="1" width="16.1796875" bestFit="1" customWidth="1"/>
    <col min="2" max="2" width="10.6328125" bestFit="1" customWidth="1"/>
    <col min="3" max="3" width="11.453125" bestFit="1" customWidth="1"/>
  </cols>
  <sheetData>
    <row r="1" spans="1:13" ht="52.5" x14ac:dyDescent="0.35">
      <c r="A1" s="1" t="s">
        <v>24</v>
      </c>
      <c r="B1" s="1" t="s">
        <v>5</v>
      </c>
      <c r="C1" s="1" t="s">
        <v>6</v>
      </c>
      <c r="D1" s="2" t="s">
        <v>7</v>
      </c>
      <c r="E1" s="9" t="s">
        <v>9</v>
      </c>
      <c r="F1" s="2" t="s">
        <v>13</v>
      </c>
      <c r="G1" s="2" t="s">
        <v>11</v>
      </c>
      <c r="H1" s="2" t="s">
        <v>12</v>
      </c>
      <c r="I1" s="2" t="s">
        <v>8</v>
      </c>
      <c r="J1" s="2" t="s">
        <v>10</v>
      </c>
      <c r="K1" s="3" t="s">
        <v>14</v>
      </c>
      <c r="L1" s="1" t="s">
        <v>15</v>
      </c>
      <c r="M1" s="1" t="s">
        <v>16</v>
      </c>
    </row>
    <row r="2" spans="1:13" x14ac:dyDescent="0.35">
      <c r="A2" s="1" t="s">
        <v>4</v>
      </c>
      <c r="B2" s="4" t="s">
        <v>0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4" t="s">
        <v>0</v>
      </c>
      <c r="I2" s="4" t="s">
        <v>1</v>
      </c>
      <c r="J2" s="4" t="s">
        <v>1</v>
      </c>
      <c r="K2" s="5" t="s">
        <v>0</v>
      </c>
      <c r="L2" s="4" t="s">
        <v>2</v>
      </c>
      <c r="M2" s="6" t="s">
        <v>3</v>
      </c>
    </row>
    <row r="3" spans="1:13" x14ac:dyDescent="0.35">
      <c r="A3" s="1" t="s">
        <v>17</v>
      </c>
      <c r="B3" s="5">
        <v>10000</v>
      </c>
      <c r="C3" s="7">
        <v>0</v>
      </c>
      <c r="D3" s="8">
        <v>4000.31</v>
      </c>
      <c r="E3" s="4">
        <v>5000</v>
      </c>
      <c r="F3" s="4">
        <v>0</v>
      </c>
      <c r="G3" s="4">
        <v>0</v>
      </c>
      <c r="H3" s="7">
        <v>12636.76</v>
      </c>
      <c r="I3" s="8">
        <v>0</v>
      </c>
      <c r="J3" s="4">
        <v>10000</v>
      </c>
      <c r="K3" s="5">
        <v>8241.3700000000008</v>
      </c>
      <c r="L3" s="8">
        <v>8329962.3799999999</v>
      </c>
      <c r="M3" s="8">
        <f xml:space="preserve"> 11229322928.9/1000000</f>
        <v>11229.322928899999</v>
      </c>
    </row>
    <row r="4" spans="1:13" x14ac:dyDescent="0.35">
      <c r="A4" s="1" t="s">
        <v>18</v>
      </c>
      <c r="B4" s="5">
        <v>10000</v>
      </c>
      <c r="C4" s="7">
        <v>0</v>
      </c>
      <c r="D4" s="8">
        <v>5000</v>
      </c>
      <c r="E4" s="4">
        <v>5000</v>
      </c>
      <c r="F4" s="4">
        <v>0</v>
      </c>
      <c r="G4" s="4">
        <v>0</v>
      </c>
      <c r="H4" s="7">
        <v>12636.76</v>
      </c>
      <c r="I4" s="8">
        <v>0</v>
      </c>
      <c r="J4" s="4">
        <v>10000</v>
      </c>
      <c r="K4" s="5">
        <v>8241.3700000000008</v>
      </c>
      <c r="L4" s="8">
        <v>8393132.5</v>
      </c>
      <c r="M4" s="8">
        <f xml:space="preserve"> 10927546829.68/1000000</f>
        <v>10927.546829680001</v>
      </c>
    </row>
    <row r="5" spans="1:13" x14ac:dyDescent="0.35">
      <c r="A5" s="1" t="s">
        <v>19</v>
      </c>
      <c r="B5" s="5">
        <v>10000</v>
      </c>
      <c r="C5" s="7">
        <v>6447.99</v>
      </c>
      <c r="D5" s="8">
        <v>5000</v>
      </c>
      <c r="E5" s="4">
        <v>5000</v>
      </c>
      <c r="F5" s="4">
        <v>0</v>
      </c>
      <c r="G5" s="4">
        <v>0</v>
      </c>
      <c r="H5" s="7">
        <v>12636.76</v>
      </c>
      <c r="I5" s="8">
        <v>0</v>
      </c>
      <c r="J5" s="4">
        <v>10000</v>
      </c>
      <c r="K5" s="5">
        <v>8241.3700000000008</v>
      </c>
      <c r="L5" s="8">
        <v>8688586.1699999999</v>
      </c>
      <c r="M5" s="8">
        <f>10323994631.26/1000000</f>
        <v>10323.99463126</v>
      </c>
    </row>
    <row r="6" spans="1:13" x14ac:dyDescent="0.35">
      <c r="A6" s="1" t="s">
        <v>20</v>
      </c>
      <c r="B6" s="5">
        <v>10000</v>
      </c>
      <c r="C6" s="7">
        <v>7568.02</v>
      </c>
      <c r="D6" s="8">
        <v>5000</v>
      </c>
      <c r="E6" s="4">
        <v>5000</v>
      </c>
      <c r="F6" s="4">
        <v>0</v>
      </c>
      <c r="G6" s="4">
        <v>0</v>
      </c>
      <c r="H6" s="7">
        <v>12636.76</v>
      </c>
      <c r="I6" s="8">
        <v>0</v>
      </c>
      <c r="J6" s="4">
        <v>10000</v>
      </c>
      <c r="K6" s="5">
        <v>8241.3700000000008</v>
      </c>
      <c r="L6" s="8">
        <v>9198597.8200000003</v>
      </c>
      <c r="M6" s="8">
        <f>9720442432.83999/1000000</f>
        <v>9720.4424328399909</v>
      </c>
    </row>
    <row r="7" spans="1:13" x14ac:dyDescent="0.35">
      <c r="A7" s="1" t="s">
        <v>21</v>
      </c>
      <c r="B7" s="5">
        <v>10000</v>
      </c>
      <c r="C7" s="7">
        <v>13142.52</v>
      </c>
      <c r="D7" s="8">
        <v>4543.32</v>
      </c>
      <c r="E7" s="4">
        <v>5000</v>
      </c>
      <c r="F7" s="4">
        <v>0</v>
      </c>
      <c r="G7" s="4">
        <v>0</v>
      </c>
      <c r="H7" s="7">
        <v>12636.76</v>
      </c>
      <c r="I7" s="8">
        <v>0</v>
      </c>
      <c r="J7" s="4">
        <v>10000</v>
      </c>
      <c r="K7" s="5">
        <v>8241.3700000000008</v>
      </c>
      <c r="L7" s="8">
        <v>9811440.2899999991</v>
      </c>
      <c r="M7" s="8">
        <f>9116890234.43999/1000000</f>
        <v>9116.8902344399885</v>
      </c>
    </row>
    <row r="8" spans="1:13" x14ac:dyDescent="0.35">
      <c r="A8" s="1" t="s">
        <v>22</v>
      </c>
      <c r="B8" s="5">
        <v>10000</v>
      </c>
      <c r="C8" s="7">
        <v>21088.04</v>
      </c>
      <c r="D8" s="8">
        <v>5000</v>
      </c>
      <c r="E8" s="4">
        <v>5000</v>
      </c>
      <c r="F8" s="4">
        <v>0</v>
      </c>
      <c r="G8" s="4">
        <v>0</v>
      </c>
      <c r="H8" s="8">
        <v>0</v>
      </c>
      <c r="I8" s="7">
        <v>6430.69</v>
      </c>
      <c r="J8" s="4">
        <v>10000</v>
      </c>
      <c r="K8" s="5">
        <v>0</v>
      </c>
      <c r="L8" s="8">
        <v>12201407.15</v>
      </c>
      <c r="M8" s="8">
        <f>8389539331.29999/1000000</f>
        <v>8389.5393312999895</v>
      </c>
    </row>
    <row r="9" spans="1:13" x14ac:dyDescent="0.35">
      <c r="A9" s="1" t="s">
        <v>23</v>
      </c>
      <c r="B9" s="5">
        <v>10000</v>
      </c>
      <c r="C9" s="7">
        <v>27700</v>
      </c>
      <c r="D9" s="8">
        <v>5000</v>
      </c>
      <c r="E9" s="4">
        <v>5000</v>
      </c>
      <c r="F9" s="4">
        <v>0</v>
      </c>
      <c r="G9" s="4">
        <v>0</v>
      </c>
      <c r="H9" s="8">
        <v>0</v>
      </c>
      <c r="I9" s="7">
        <v>10000</v>
      </c>
      <c r="J9" s="4">
        <v>10000</v>
      </c>
      <c r="K9" s="5">
        <v>0</v>
      </c>
      <c r="L9" s="8">
        <v>13895493.83</v>
      </c>
      <c r="M9" s="8">
        <f>8210772580.50999/1000000</f>
        <v>8210.772580509989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Advanced</vt:lpstr>
      <vt:lpstr>Simplified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Koert</dc:creator>
  <cp:lastModifiedBy>Oscar Javier Quiroga Rodriguez</cp:lastModifiedBy>
  <dcterms:created xsi:type="dcterms:W3CDTF">2025-03-05T08:41:08Z</dcterms:created>
  <dcterms:modified xsi:type="dcterms:W3CDTF">2025-04-01T16:53:20Z</dcterms:modified>
</cp:coreProperties>
</file>